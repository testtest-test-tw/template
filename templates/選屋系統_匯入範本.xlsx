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案件設定" sheetId="2" state="visible" r:id="rId2"/>
    <sheet xmlns:r="http://schemas.openxmlformats.org/officeDocument/2006/relationships" name="地主" sheetId="3" state="visible" r:id="rId3"/>
    <sheet xmlns:r="http://schemas.openxmlformats.org/officeDocument/2006/relationships" name="房屋單元" sheetId="4" state="visible" r:id="rId4"/>
    <sheet xmlns:r="http://schemas.openxmlformats.org/officeDocument/2006/relationships" name="車位" sheetId="5" state="visible" r:id="rId5"/>
  </sheets>
  <definedNames>
    <definedName name="_xlnm._FilterDatabase" localSheetId="2" hidden="1">'地主'!$A$1:$N$1</definedName>
    <definedName name="_xlnm._FilterDatabase" localSheetId="3" hidden="1">'房屋單元'!$A$1:$Q$1</definedName>
    <definedName name="_xlnm._FilterDatabase" localSheetId="4" hidden="1">'車位'!$A$1:$H$1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sz val="14"/>
    </font>
    <font>
      <name val="Arial"/>
      <charset val="1"/>
      <family val="0"/>
      <b val="1"/>
      <sz val="10"/>
    </font>
    <font>
      <name val="Noto Sans CJK SC"/>
      <charset val="1"/>
      <family val="2"/>
      <b val="1"/>
      <sz val="10"/>
    </font>
    <font>
      <name val="Noto Sans CJK SC"/>
      <charset val="1"/>
      <family val="2"/>
      <sz val="10"/>
    </font>
    <font>
      <name val="Noto Sans CJK SC"/>
      <charset val="1"/>
      <family val="2"/>
      <color rgb="FF0000FF"/>
      <sz val="10"/>
    </font>
    <font>
      <name val="Arial"/>
      <charset val="1"/>
      <family val="0"/>
      <sz val="10"/>
    </font>
    <font>
      <name val="Noto Sans CJK SC"/>
      <charset val="1"/>
      <family val="2"/>
      <b val="1"/>
      <color rgb="FFFFFFFF"/>
      <sz val="10"/>
    </font>
    <font>
      <name val="Arial"/>
      <charset val="1"/>
      <family val="0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EF3F6"/>
      </patternFill>
    </fill>
    <fill>
      <patternFill patternType="solid">
        <fgColor rgb="FFEEF3F6"/>
        <bgColor rgb="FFFFFFFF"/>
      </patternFill>
    </fill>
    <fill>
      <patternFill patternType="solid">
        <fgColor rgb="FF3C4A52"/>
        <bgColor rgb="FF33339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center" wrapText="1"/>
    </xf>
    <xf numFmtId="9" fontId="11" fillId="0" borderId="0" applyAlignment="1" pivotButton="0" quotePrefix="0" xfId="0">
      <alignment horizontal="general" vertical="top" wrapText="1"/>
    </xf>
    <xf numFmtId="3" fontId="11" fillId="0" borderId="0" applyAlignment="1" pivotButton="0" quotePrefix="0" xfId="0">
      <alignment horizontal="general" vertical="top" wrapText="1"/>
    </xf>
    <xf numFmtId="1" fontId="11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3" fontId="9" fillId="3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2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center" wrapText="1"/>
    </xf>
    <xf numFmtId="9" fontId="11" fillId="0" borderId="0" applyAlignment="1" pivotButton="0" quotePrefix="0" xfId="0">
      <alignment horizontal="general" vertical="top" wrapText="1"/>
    </xf>
    <xf numFmtId="3" fontId="11" fillId="0" borderId="0" applyAlignment="1" pivotButton="0" quotePrefix="0" xfId="0">
      <alignment horizontal="general" vertical="top" wrapText="1"/>
    </xf>
    <xf numFmtId="1" fontId="11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3" fontId="9" fillId="3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2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3C4A5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F3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4A5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4" min="1" max="1"/>
    <col width="90" customWidth="1" style="24" min="2" max="2"/>
  </cols>
  <sheetData>
    <row r="1" ht="21" customHeight="1" s="25">
      <c r="A1" s="26" t="inlineStr">
        <is>
          <t>選屋系統 · 標準匯入範本</t>
        </is>
      </c>
    </row>
    <row r="2" ht="15" customHeight="1" s="25">
      <c r="A2" s="27" t="n"/>
    </row>
    <row r="3" ht="15" customHeight="1" s="25">
      <c r="A3" s="28" t="inlineStr">
        <is>
          <t>本檔用途</t>
        </is>
      </c>
      <c r="B3" s="29" t="inlineStr">
        <is>
          <t>新個案開始前，把地主權值、房屋單元、車位資料整理成這個格式，再到後台「匯入資料」上傳。</t>
        </is>
      </c>
    </row>
    <row r="4" ht="29.25" customHeight="1" s="25">
      <c r="A4" s="28" t="inlineStr">
        <is>
          <t>範例資料</t>
        </is>
      </c>
      <c r="B4" s="29" t="inlineStr">
        <is>
          <t>下方各工作表第 2 列是格式範例，請刪除後貼上實際資料。</t>
        </is>
      </c>
    </row>
    <row r="5" ht="15" customHeight="1" s="25">
      <c r="A5" s="27" t="n"/>
    </row>
    <row r="6" ht="15" customHeight="1" s="25">
      <c r="A6" s="28" t="inlineStr">
        <is>
          <t>顏色說明</t>
        </is>
      </c>
    </row>
    <row r="7" ht="15" customHeight="1" s="25">
      <c r="A7" s="30" t="inlineStr">
        <is>
          <t>藍色文字</t>
        </is>
      </c>
      <c r="B7" s="31" t="inlineStr">
        <is>
          <t>從來源文件抄入的原始數值（請核對）</t>
        </is>
      </c>
    </row>
    <row r="8" ht="15" customHeight="1" s="25">
      <c r="A8" s="30" t="inlineStr">
        <is>
          <t>黃色底</t>
        </is>
      </c>
      <c r="B8" s="32" t="inlineStr">
        <is>
          <t>選填或需補填的欄位（身分證、電話、地址等，可空白，之後在後台補）</t>
        </is>
      </c>
    </row>
    <row r="9" ht="15" customHeight="1" s="25">
      <c r="A9" s="30" t="inlineStr">
        <is>
          <t>淺藍底</t>
        </is>
      </c>
      <c r="B9" s="33" t="inlineStr">
        <is>
          <t>公式自動計算，請勿手動修改</t>
        </is>
      </c>
    </row>
    <row r="10" ht="15" customHeight="1" s="25">
      <c r="A10" s="27" t="n"/>
    </row>
    <row r="11" ht="15" customHeight="1" s="25">
      <c r="A11" s="28" t="inlineStr">
        <is>
          <t>工作表</t>
        </is>
      </c>
    </row>
    <row r="12" ht="15" customHeight="1" s="25">
      <c r="A12" s="30" t="inlineStr">
        <is>
          <t>案件設定</t>
        </is>
      </c>
      <c r="B12" s="29" t="inlineStr">
        <is>
          <t>選配上限比例、最小分配單元價值等規則；可在後台「案件設定」再修改</t>
        </is>
      </c>
    </row>
    <row r="13" ht="15" customHeight="1" s="25">
      <c r="A13" s="30" t="inlineStr">
        <is>
          <t>地主</t>
        </is>
      </c>
      <c r="B13" s="29" t="inlineStr">
        <is>
          <t>一列一位地主（受配人）。「編號」不可重複，是系統辨識地主的依據</t>
        </is>
      </c>
    </row>
    <row r="14" ht="15" customHeight="1" s="25">
      <c r="A14" s="30" t="inlineStr">
        <is>
          <t>房屋單元</t>
        </is>
      </c>
      <c r="B14" s="29" t="inlineStr">
        <is>
          <t>一列一戶。「單元編號」格式固定為「樓層-戶別」，例如 2F-A1、1F-S1</t>
        </is>
      </c>
    </row>
    <row r="15" ht="15" customHeight="1" s="25">
      <c r="A15" s="30" t="inlineStr">
        <is>
          <t>車位</t>
        </is>
      </c>
      <c r="B15" s="29" t="inlineStr">
        <is>
          <t>一列一個車位。「車位編號」格式固定為「樓層-號碼」，例如 B5-1</t>
        </is>
      </c>
    </row>
    <row r="16" ht="15" customHeight="1" s="25">
      <c r="A16" s="27" t="n"/>
    </row>
    <row r="17" ht="15" customHeight="1" s="25">
      <c r="A17" s="28" t="inlineStr">
        <is>
          <t>注意</t>
        </is>
      </c>
    </row>
    <row r="18" ht="15" customHeight="1" s="25">
      <c r="A18" s="34" t="inlineStr">
        <is>
          <t>1</t>
        </is>
      </c>
      <c r="B18" s="29" t="inlineStr">
        <is>
          <t>不要更改第一列的欄位名稱與欄位順序</t>
        </is>
      </c>
    </row>
    <row r="19" ht="15" customHeight="1" s="25">
      <c r="A19" s="34" t="inlineStr">
        <is>
          <t>2</t>
        </is>
      </c>
      <c r="B19" s="29" t="inlineStr">
        <is>
          <t>金額請填數字，不要加「元」或「NT$」</t>
        </is>
      </c>
    </row>
    <row r="20" ht="15" customHeight="1" s="25">
      <c r="A20" s="34" t="inlineStr">
        <is>
          <t>3</t>
        </is>
      </c>
      <c r="B20" s="29" t="inlineStr">
        <is>
          <t>「開放狀態」填「開放」或「保留」。保留＝不開放地主選配（例如實施者保留戶）</t>
        </is>
      </c>
    </row>
    <row r="21" ht="15" customHeight="1" s="25">
      <c r="A21" s="34" t="inlineStr">
        <is>
          <t>4</t>
        </is>
      </c>
      <c r="B21" s="29" t="inlineStr">
        <is>
          <t>「店面優先」填「是」的地主，可優先選配相對位次的一樓店面（依選配說明六(二)1）</t>
        </is>
      </c>
    </row>
    <row r="22" ht="15" customHeight="1" s="25">
      <c r="A22" s="34" t="inlineStr">
        <is>
          <t>5</t>
        </is>
      </c>
      <c r="B22" s="29" t="inlineStr">
        <is>
          <t>「不得合併」填「是」代表原土地或建物遭查封、假扣押、假處分或破產登記，依法不得合併分配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24" min="1" max="2"/>
    <col width="70" customWidth="1" style="24" min="3" max="3"/>
  </cols>
  <sheetData>
    <row r="1" ht="31.5" customHeight="1" s="25">
      <c r="A1" s="35" t="inlineStr">
        <is>
          <t>項目</t>
        </is>
      </c>
      <c r="B1" s="35" t="inlineStr">
        <is>
          <t>設定值</t>
        </is>
      </c>
      <c r="C1" s="35" t="inlineStr">
        <is>
          <t>說明</t>
        </is>
      </c>
    </row>
    <row r="2" ht="43.5" customHeight="1" s="25">
      <c r="A2" s="28" t="inlineStr">
        <is>
          <t>個案名稱</t>
        </is>
      </c>
      <c r="B2" s="31" t="inlineStr">
        <is>
          <t>（個案全名）</t>
        </is>
      </c>
      <c r="C2" s="29" t="n"/>
    </row>
    <row r="3" ht="15" customHeight="1" s="25">
      <c r="A3" s="28" t="inlineStr">
        <is>
          <t>簡稱</t>
        </is>
      </c>
      <c r="B3" s="31" t="inlineStr">
        <is>
          <t>（簡稱）</t>
        </is>
      </c>
      <c r="C3" s="29" t="inlineStr">
        <is>
          <t>後台與前台標題顯示</t>
        </is>
      </c>
    </row>
    <row r="4" ht="15" customHeight="1" s="25">
      <c r="A4" s="28" t="inlineStr">
        <is>
          <t>實施者</t>
        </is>
      </c>
      <c r="B4" s="31" t="inlineStr">
        <is>
          <t>（實施者）</t>
        </is>
      </c>
      <c r="C4" s="29" t="n"/>
    </row>
    <row r="5" ht="15" customHeight="1" s="25">
      <c r="A5" s="28" t="inlineStr">
        <is>
          <t>選配上限比例</t>
        </is>
      </c>
      <c r="B5" s="36" t="n">
        <v>1.1</v>
      </c>
      <c r="C5" s="29" t="inlineStr">
        <is>
          <t>選配總價以不超過應分配權利價值的 110% 為限（選配說明六(二)2）</t>
        </is>
      </c>
    </row>
    <row r="6" ht="15" customHeight="1" s="25">
      <c r="A6" s="28" t="inlineStr">
        <is>
          <t>超過上限處理</t>
        </is>
      </c>
      <c r="B6" s="31" t="inlineStr">
        <is>
          <t>需管理員核准</t>
        </is>
      </c>
      <c r="C6" s="29" t="inlineStr">
        <is>
          <t>超出 110% 須先與實施者達成協議方得選配；系統會擋下，管理員註記協議後才可登錄</t>
        </is>
      </c>
    </row>
    <row r="7" ht="15" customHeight="1" s="25">
      <c r="A7" s="28" t="inlineStr">
        <is>
          <t>最小分配單元價值</t>
        </is>
      </c>
      <c r="B7" s="37" t="n"/>
      <c r="C7" s="29" t="inlineStr">
        <is>
          <t>未達此金額者不能單獨參與分配，可領補償金或與他人合併（選配說明六(一)2）</t>
        </is>
      </c>
    </row>
    <row r="8" ht="15" customHeight="1" s="25">
      <c r="A8" s="28" t="inlineStr">
        <is>
          <t>每戶最多搭配車位數</t>
        </is>
      </c>
      <c r="B8" s="38" t="n">
        <v>1</v>
      </c>
      <c r="C8" s="29" t="inlineStr">
        <is>
          <t>一房屋至多搭配一車位（選配說明六(二)3）</t>
        </is>
      </c>
    </row>
    <row r="9" ht="15" customHeight="1" s="25">
      <c r="A9" s="28" t="inlineStr">
        <is>
          <t>申請分配開始日</t>
        </is>
      </c>
      <c r="B9" s="39" t="n"/>
      <c r="C9" s="29" t="inlineStr">
        <is>
          <t>民國 115 年 7 月 1 日</t>
        </is>
      </c>
    </row>
    <row r="10" ht="15" customHeight="1" s="25">
      <c r="A10" s="28" t="inlineStr">
        <is>
          <t>申請分配截止日</t>
        </is>
      </c>
      <c r="B10" s="39" t="n"/>
      <c r="C10" s="29" t="inlineStr">
        <is>
          <t>民國 115 年 7 月 31 日下午 5 時前</t>
        </is>
      </c>
    </row>
    <row r="11" ht="15" customHeight="1" s="25">
      <c r="A11" s="28" t="inlineStr">
        <is>
          <t>公開抽籤日期</t>
        </is>
      </c>
      <c r="B11" s="39" t="n"/>
      <c r="C11" s="29" t="inlineStr">
        <is>
          <t>清水國小慈愛樓 5F 視聽教室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2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24" min="1" max="1"/>
    <col width="12" customWidth="1" style="24" min="2" max="2"/>
    <col width="14" customWidth="1" style="24" min="3" max="3"/>
    <col width="18" customWidth="1" style="24" min="4" max="4"/>
    <col width="12" customWidth="1" style="24" min="5" max="5"/>
    <col width="20" customWidth="1" style="24" min="6" max="6"/>
    <col width="16" customWidth="1" style="24" min="7" max="7"/>
    <col width="12" customWidth="1" style="24" min="8" max="8"/>
    <col width="9" customWidth="1" style="24" min="9" max="10"/>
    <col width="14" customWidth="1" style="24" min="11" max="12"/>
    <col width="30" customWidth="1" style="24" min="13" max="13"/>
    <col width="20" customWidth="1" style="24" min="14" max="14"/>
  </cols>
  <sheetData>
    <row r="1" ht="31.5" customHeight="1" s="25">
      <c r="A1" s="35" t="inlineStr">
        <is>
          <t>編號</t>
        </is>
      </c>
      <c r="B1" s="35" t="inlineStr">
        <is>
          <t>所有權人</t>
        </is>
      </c>
      <c r="C1" s="35" t="inlineStr">
        <is>
          <t>委託人／代理人</t>
        </is>
      </c>
      <c r="D1" s="35" t="inlineStr">
        <is>
          <t>更新前土地權利價值(元)</t>
        </is>
      </c>
      <c r="E1" s="35" t="inlineStr">
        <is>
          <t>更新前權利價值比率</t>
        </is>
      </c>
      <c r="F1" s="35" t="inlineStr">
        <is>
          <t>更新後應分配權利價值(元)</t>
        </is>
      </c>
      <c r="G1" s="35" t="inlineStr">
        <is>
          <t>選配上限(元)</t>
        </is>
      </c>
      <c r="H1" s="35" t="inlineStr">
        <is>
          <t>未達最小分配單元</t>
        </is>
      </c>
      <c r="I1" s="35" t="inlineStr">
        <is>
          <t>店面優先</t>
        </is>
      </c>
      <c r="J1" s="35" t="inlineStr">
        <is>
          <t>不得合併</t>
        </is>
      </c>
      <c r="K1" s="35" t="inlineStr">
        <is>
          <t>身分證字號</t>
        </is>
      </c>
      <c r="L1" s="35" t="inlineStr">
        <is>
          <t>聯絡電話</t>
        </is>
      </c>
      <c r="M1" s="35" t="inlineStr">
        <is>
          <t>通訊地址</t>
        </is>
      </c>
      <c r="N1" s="35" t="inlineStr">
        <is>
          <t>備註</t>
        </is>
      </c>
    </row>
    <row r="2" ht="15" customHeight="1" s="25">
      <c r="A2" s="40" t="n">
        <v>1</v>
      </c>
      <c r="B2" s="41" t="inlineStr">
        <is>
          <t>範例地主</t>
        </is>
      </c>
      <c r="C2" s="41" t="n"/>
      <c r="D2" s="42" t="n">
        <v>7184985</v>
      </c>
      <c r="E2" s="43" t="n">
        <v>0.003762</v>
      </c>
      <c r="F2" s="42" t="n">
        <v>11849973</v>
      </c>
      <c r="G2" s="44">
        <f>ROUND(F2*案件設定!$B$5,0)</f>
        <v/>
      </c>
      <c r="H2" s="45">
        <f>IF(F2&lt;案件設定!$B$7,"未達","")</f>
        <v/>
      </c>
      <c r="I2" s="46" t="inlineStr">
        <is>
          <t>否</t>
        </is>
      </c>
      <c r="J2" s="46" t="inlineStr">
        <is>
          <t>否</t>
        </is>
      </c>
      <c r="K2" s="46" t="n"/>
      <c r="L2" s="46" t="n"/>
      <c r="M2" s="46" t="n"/>
      <c r="N2" s="46" t="inlineStr">
        <is>
          <t>此列為範例，請刪除後貼上實際資料</t>
        </is>
      </c>
    </row>
    <row r="3" ht="15" customHeight="1" s="25"/>
    <row r="4" ht="15" customHeight="1" s="25"/>
    <row r="5" ht="15" customHeight="1" s="25"/>
    <row r="6" ht="15" customHeight="1" s="25"/>
    <row r="7" ht="15" customHeight="1" s="25"/>
    <row r="8" ht="15" customHeight="1" s="25"/>
    <row r="9" ht="15" customHeight="1" s="25"/>
    <row r="10" ht="15" customHeight="1" s="25"/>
    <row r="11" ht="15" customHeight="1" s="25"/>
    <row r="12" ht="15" customHeight="1" s="25"/>
    <row r="13" ht="15" customHeight="1" s="25"/>
    <row r="14" ht="15" customHeight="1" s="25"/>
    <row r="15" ht="15" customHeight="1" s="25"/>
    <row r="16" ht="15" customHeight="1" s="25"/>
    <row r="17" ht="15" customHeight="1" s="25"/>
    <row r="18" ht="15" customHeight="1" s="25"/>
    <row r="19" ht="15" customHeight="1" s="25"/>
    <row r="20" ht="15" customHeight="1" s="25"/>
    <row r="21" ht="15" customHeight="1" s="25"/>
    <row r="22" ht="15" customHeight="1" s="25"/>
    <row r="23" ht="15" customHeight="1" s="25"/>
    <row r="24" ht="15" customHeight="1" s="25"/>
    <row r="25" ht="15" customHeight="1" s="25"/>
    <row r="26" ht="15" customHeight="1" s="25"/>
    <row r="27" ht="15" customHeight="1" s="25"/>
    <row r="28" ht="15" customHeight="1" s="25"/>
    <row r="29" ht="15" customHeight="1" s="25"/>
    <row r="30" ht="15" customHeight="1" s="25"/>
    <row r="31" ht="15" customHeight="1" s="25"/>
    <row r="32" ht="15" customHeight="1" s="25"/>
    <row r="33" ht="15" customHeight="1" s="25"/>
    <row r="34" ht="15" customHeight="1" s="25"/>
    <row r="35" ht="15" customHeight="1" s="25"/>
    <row r="36" ht="15" customHeight="1" s="25"/>
    <row r="37" ht="15" customHeight="1" s="25"/>
    <row r="38" ht="15" customHeight="1" s="25"/>
    <row r="39" ht="15" customHeight="1" s="25"/>
    <row r="40" ht="15" customHeight="1" s="25"/>
    <row r="41" ht="15" customHeight="1" s="25"/>
    <row r="42" ht="15" customHeight="1" s="25"/>
    <row r="43" ht="15" customHeight="1" s="25"/>
    <row r="44" ht="15" customHeight="1" s="25"/>
    <row r="45" ht="15" customHeight="1" s="25"/>
    <row r="46" ht="15" customHeight="1" s="25"/>
    <row r="47" ht="15" customHeight="1" s="25"/>
    <row r="48" ht="15" customHeight="1" s="25"/>
    <row r="49" ht="15" customHeight="1" s="25"/>
    <row r="50" ht="15" customHeight="1" s="25"/>
    <row r="51" ht="15" customHeight="1" s="25"/>
    <row r="52" ht="15" customHeight="1" s="25"/>
    <row r="53" ht="15" customHeight="1" s="25"/>
    <row r="54" ht="15" customHeight="1" s="25"/>
    <row r="55" ht="15" customHeight="1" s="25"/>
    <row r="56" ht="15" customHeight="1" s="25"/>
    <row r="57" ht="15" customHeight="1" s="25"/>
    <row r="58" ht="15" customHeight="1" s="25"/>
    <row r="59" ht="15" customHeight="1" s="25"/>
    <row r="60" ht="15" customHeight="1" s="25"/>
    <row r="61" ht="15" customHeight="1" s="25"/>
    <row r="62" ht="15" customHeight="1" s="25"/>
    <row r="63" ht="15" customHeight="1" s="25"/>
    <row r="64" ht="15" customHeight="1" s="25"/>
    <row r="65" ht="15" customHeight="1" s="25"/>
    <row r="66" ht="15" customHeight="1" s="25"/>
    <row r="67" ht="15" customHeight="1" s="25"/>
    <row r="68" ht="15" customHeight="1" s="25"/>
    <row r="69" ht="15" customHeight="1" s="25"/>
    <row r="70" ht="15" customHeight="1" s="25"/>
    <row r="71" ht="15" customHeight="1" s="25"/>
    <row r="72" ht="15" customHeight="1" s="25"/>
    <row r="73" ht="15" customHeight="1" s="25"/>
    <row r="74" ht="15" customHeight="1" s="25"/>
    <row r="75" ht="15" customHeight="1" s="25"/>
    <row r="76" ht="15" customHeight="1" s="25"/>
    <row r="77" ht="15" customHeight="1" s="25"/>
    <row r="78" ht="15" customHeight="1" s="25"/>
    <row r="79" ht="15" customHeight="1" s="25"/>
    <row r="80" ht="15" customHeight="1" s="25"/>
    <row r="81" ht="15" customHeight="1" s="25"/>
    <row r="82" ht="15" customHeight="1" s="25"/>
    <row r="83" ht="15" customHeight="1" s="25"/>
    <row r="84" ht="15" customHeight="1" s="25"/>
    <row r="85" ht="15" customHeight="1" s="25"/>
    <row r="86" ht="15" customHeight="1" s="25"/>
    <row r="87" ht="15" customHeight="1" s="25"/>
    <row r="88" ht="15" customHeight="1" s="25"/>
    <row r="89" ht="15" customHeight="1" s="25"/>
    <row r="90" ht="15" customHeight="1" s="25"/>
    <row r="91" ht="15" customHeight="1" s="25"/>
    <row r="92" ht="15" customHeight="1" s="25"/>
    <row r="93" ht="15" customHeight="1" s="25"/>
    <row r="94" ht="15" customHeight="1" s="25"/>
    <row r="95" ht="15" customHeight="1" s="25"/>
    <row r="96" ht="15" customHeight="1" s="25"/>
    <row r="97" ht="15" customHeight="1" s="25"/>
    <row r="98" ht="15" customHeight="1" s="25"/>
    <row r="99" ht="15" customHeight="1" s="25"/>
    <row r="100" ht="15" customHeight="1" s="25"/>
    <row r="101" ht="15" customHeight="1" s="25"/>
    <row r="102" ht="15" customHeight="1" s="25"/>
    <row r="103" ht="15" customHeight="1" s="25"/>
    <row r="104" ht="15" customHeight="1" s="25"/>
    <row r="105" ht="15" customHeight="1" s="25"/>
    <row r="106" ht="15" customHeight="1" s="25"/>
    <row r="107" ht="15" customHeight="1" s="25"/>
    <row r="108" ht="15" customHeight="1" s="25"/>
    <row r="109" ht="15" customHeight="1" s="25"/>
    <row r="110" ht="15" customHeight="1" s="25"/>
    <row r="111" ht="15" customHeight="1" s="25"/>
    <row r="112" ht="15" customHeight="1" s="25"/>
    <row r="113" ht="15" customHeight="1" s="25"/>
    <row r="114" ht="15" customHeight="1" s="25"/>
    <row r="115" ht="15" customHeight="1" s="25"/>
    <row r="116" ht="15" customHeight="1" s="25"/>
    <row r="117" ht="15" customHeight="1" s="25"/>
    <row r="118" ht="15" customHeight="1" s="25"/>
    <row r="119" ht="15" customHeight="1" s="25"/>
    <row r="120" ht="15" customHeight="1" s="25"/>
    <row r="121" ht="15" customHeight="1" s="25"/>
    <row r="122" ht="15" customHeight="1" s="25"/>
    <row r="123" ht="15" customHeight="1" s="25"/>
    <row r="124" ht="15" customHeight="1" s="25"/>
    <row r="125" ht="15" customHeight="1" s="25"/>
    <row r="126" ht="15" customHeight="1" s="25"/>
    <row r="127" ht="15" customHeight="1" s="25"/>
    <row r="128" ht="15" customHeight="1" s="25"/>
    <row r="129" ht="15" customHeight="1" s="25"/>
    <row r="130" ht="15" customHeight="1" s="25"/>
    <row r="131" ht="15" customHeight="1" s="25"/>
    <row r="132" ht="15" customHeight="1" s="25"/>
    <row r="133" ht="15" customHeight="1" s="25"/>
    <row r="134" ht="15" customHeight="1" s="25"/>
    <row r="135" ht="15" customHeight="1" s="25"/>
    <row r="136" ht="15" customHeight="1" s="25"/>
    <row r="137" ht="15" customHeight="1" s="25"/>
    <row r="138" ht="15" customHeight="1" s="25"/>
    <row r="139" ht="15" customHeight="1" s="25"/>
    <row r="140" ht="15" customHeight="1" s="25"/>
    <row r="141" ht="15" customHeight="1" s="25"/>
    <row r="142" ht="15" customHeight="1" s="25"/>
    <row r="143" ht="15" customHeight="1" s="25"/>
    <row r="144" ht="15" customHeight="1" s="25"/>
    <row r="145" ht="15" customHeight="1" s="25"/>
    <row r="146" ht="15" customHeight="1" s="25"/>
    <row r="147" ht="15" customHeight="1" s="25"/>
    <row r="148" ht="15" customHeight="1" s="25"/>
    <row r="149" ht="15" customHeight="1" s="25"/>
    <row r="150" ht="15" customHeight="1" s="25"/>
    <row r="151" ht="15" customHeight="1" s="25"/>
    <row r="152" ht="15" customHeight="1" s="25"/>
    <row r="153" ht="15" customHeight="1" s="25"/>
    <row r="154" ht="15" customHeight="1" s="25"/>
    <row r="155" ht="15" customHeight="1" s="25"/>
    <row r="156" ht="15" customHeight="1" s="25"/>
    <row r="157" ht="15" customHeight="1" s="25"/>
    <row r="158" ht="15" customHeight="1" s="25"/>
    <row r="159" ht="15" customHeight="1" s="25"/>
    <row r="160" ht="15" customHeight="1" s="25"/>
    <row r="161" ht="15" customHeight="1" s="25"/>
    <row r="162" ht="15" customHeight="1" s="25"/>
    <row r="163" ht="15" customHeight="1" s="25"/>
    <row r="164" ht="15" customHeight="1" s="25"/>
    <row r="165" ht="15" customHeight="1" s="25"/>
    <row r="166" ht="15" customHeight="1" s="25"/>
    <row r="167" ht="15" customHeight="1" s="25"/>
    <row r="168" ht="15" customHeight="1" s="25"/>
    <row r="169" ht="15" customHeight="1" s="25"/>
    <row r="170" ht="15" customHeight="1" s="25"/>
    <row r="171" ht="15" customHeight="1" s="25"/>
    <row r="173" ht="15" customHeight="1" s="25"/>
    <row r="174" ht="15" customHeight="1" s="25"/>
  </sheetData>
  <autoFilter ref="A1:N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2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4" min="1" max="1"/>
    <col width="10" customWidth="1" style="24" min="2" max="2"/>
    <col width="7" customWidth="1" style="24" min="3" max="3"/>
    <col width="9" customWidth="1" style="24" min="4" max="4"/>
    <col width="7" customWidth="1" style="24" min="5" max="6"/>
    <col width="10" customWidth="1" style="24" min="7" max="10"/>
    <col width="13" customWidth="1" style="24" min="11" max="11"/>
    <col width="10" customWidth="1" style="24" min="12" max="12"/>
    <col width="12" customWidth="1" style="24" min="13" max="13"/>
    <col width="13" customWidth="1" style="24" min="14" max="14"/>
    <col width="16" customWidth="1" style="24" min="15" max="15"/>
    <col width="9" customWidth="1" style="24" min="16" max="16"/>
    <col width="16" customWidth="1" style="24" min="17" max="17"/>
  </cols>
  <sheetData>
    <row r="1" ht="31.5" customHeight="1" s="25">
      <c r="A1" s="35" t="inlineStr">
        <is>
          <t>序號</t>
        </is>
      </c>
      <c r="B1" s="35" t="inlineStr">
        <is>
          <t>單元編號</t>
        </is>
      </c>
      <c r="C1" s="35" t="inlineStr">
        <is>
          <t>棟別</t>
        </is>
      </c>
      <c r="D1" s="35" t="inlineStr">
        <is>
          <t>使用類別</t>
        </is>
      </c>
      <c r="E1" s="35" t="inlineStr">
        <is>
          <t>樓層</t>
        </is>
      </c>
      <c r="F1" s="35" t="inlineStr">
        <is>
          <t>戶別</t>
        </is>
      </c>
      <c r="G1" s="35" t="inlineStr">
        <is>
          <t>主建物(坪)</t>
        </is>
      </c>
      <c r="H1" s="35" t="inlineStr">
        <is>
          <t>附屬建物(坪)</t>
        </is>
      </c>
      <c r="I1" s="35" t="inlineStr">
        <is>
          <t>共有部分(坪)</t>
        </is>
      </c>
      <c r="J1" s="35" t="inlineStr">
        <is>
          <t>總建物(坪)</t>
        </is>
      </c>
      <c r="K1" s="35" t="inlineStr">
        <is>
          <t>建物單價(元/坪)</t>
        </is>
      </c>
      <c r="L1" s="35" t="inlineStr">
        <is>
          <t>露臺面積(坪)</t>
        </is>
      </c>
      <c r="M1" s="35" t="inlineStr">
        <is>
          <t>露臺單價(元/坪)</t>
        </is>
      </c>
      <c r="N1" s="35" t="inlineStr">
        <is>
          <t>露臺總價值(元)</t>
        </is>
      </c>
      <c r="O1" s="35" t="inlineStr">
        <is>
          <t>總價(元，含露臺)</t>
        </is>
      </c>
      <c r="P1" s="35" t="inlineStr">
        <is>
          <t>開放狀態</t>
        </is>
      </c>
      <c r="Q1" s="35" t="inlineStr">
        <is>
          <t>備註</t>
        </is>
      </c>
    </row>
    <row r="2" ht="15" customHeight="1" s="25">
      <c r="A2" s="41" t="n">
        <v>1</v>
      </c>
      <c r="B2" s="40" t="inlineStr">
        <is>
          <t>1F-S1</t>
        </is>
      </c>
      <c r="C2" s="41" t="inlineStr">
        <is>
          <t>店鋪</t>
        </is>
      </c>
      <c r="D2" s="41" t="inlineStr">
        <is>
          <t>店鋪</t>
        </is>
      </c>
      <c r="E2" s="40" t="inlineStr">
        <is>
          <t>1F</t>
        </is>
      </c>
      <c r="F2" s="40" t="inlineStr">
        <is>
          <t>S1</t>
        </is>
      </c>
      <c r="G2" s="47" t="n">
        <v>16.47</v>
      </c>
      <c r="H2" s="47" t="n">
        <v>0</v>
      </c>
      <c r="I2" s="47" t="n">
        <v>8.84</v>
      </c>
      <c r="J2" s="47" t="n">
        <v>25.31</v>
      </c>
      <c r="K2" s="42" t="n">
        <v>1370000</v>
      </c>
      <c r="L2" s="47" t="n"/>
      <c r="M2" s="42" t="n"/>
      <c r="N2" s="42" t="n"/>
      <c r="O2" s="42" t="n">
        <v>34674700</v>
      </c>
      <c r="P2" s="46" t="inlineStr">
        <is>
          <t>開放</t>
        </is>
      </c>
      <c r="Q2" s="46" t="n"/>
    </row>
    <row r="3" ht="15" customHeight="1" s="25"/>
    <row r="4" ht="15" customHeight="1" s="25"/>
    <row r="5" ht="15" customHeight="1" s="25"/>
    <row r="6" ht="15" customHeight="1" s="25"/>
    <row r="7" ht="15" customHeight="1" s="25"/>
    <row r="8" ht="15" customHeight="1" s="25"/>
    <row r="9" ht="15" customHeight="1" s="25"/>
    <row r="10" ht="15" customHeight="1" s="25"/>
    <row r="11" ht="15" customHeight="1" s="25"/>
    <row r="12" ht="15" customHeight="1" s="25"/>
    <row r="13" ht="15" customHeight="1" s="25"/>
    <row r="14" ht="15" customHeight="1" s="25"/>
    <row r="15" ht="15" customHeight="1" s="25"/>
    <row r="16" ht="15" customHeight="1" s="25"/>
    <row r="17" ht="15" customHeight="1" s="25"/>
    <row r="18" ht="15" customHeight="1" s="25"/>
    <row r="19" ht="15" customHeight="1" s="25"/>
    <row r="20" ht="15" customHeight="1" s="25"/>
    <row r="21" ht="15" customHeight="1" s="25"/>
    <row r="22" ht="15" customHeight="1" s="25"/>
    <row r="23" ht="15" customHeight="1" s="25"/>
    <row r="24" ht="15" customHeight="1" s="25"/>
    <row r="25" ht="15" customHeight="1" s="25"/>
    <row r="26" ht="15" customHeight="1" s="25"/>
    <row r="27" ht="15" customHeight="1" s="25"/>
    <row r="28" ht="15" customHeight="1" s="25"/>
    <row r="29" ht="15" customHeight="1" s="25"/>
    <row r="30" ht="15" customHeight="1" s="25"/>
    <row r="31" ht="15" customHeight="1" s="25"/>
    <row r="32" ht="15" customHeight="1" s="25"/>
    <row r="33" ht="15" customHeight="1" s="25"/>
    <row r="34" ht="15" customHeight="1" s="25"/>
    <row r="35" ht="15" customHeight="1" s="25"/>
    <row r="36" ht="15" customHeight="1" s="25"/>
    <row r="37" ht="15" customHeight="1" s="25"/>
    <row r="38" ht="15" customHeight="1" s="25"/>
    <row r="39" ht="15" customHeight="1" s="25"/>
    <row r="40" ht="15" customHeight="1" s="25"/>
    <row r="41" ht="15" customHeight="1" s="25"/>
    <row r="42" ht="15" customHeight="1" s="25"/>
    <row r="43" ht="15" customHeight="1" s="25"/>
    <row r="44" ht="15" customHeight="1" s="25"/>
    <row r="45" ht="15" customHeight="1" s="25"/>
    <row r="46" ht="15" customHeight="1" s="25"/>
    <row r="47" ht="15" customHeight="1" s="25"/>
    <row r="48" ht="15" customHeight="1" s="25"/>
    <row r="49" ht="15" customHeight="1" s="25"/>
    <row r="50" ht="15" customHeight="1" s="25"/>
    <row r="51" ht="15" customHeight="1" s="25"/>
    <row r="52" ht="15" customHeight="1" s="25"/>
    <row r="53" ht="15" customHeight="1" s="25"/>
    <row r="54" ht="15" customHeight="1" s="25"/>
    <row r="55" ht="15" customHeight="1" s="25"/>
    <row r="56" ht="15" customHeight="1" s="25"/>
    <row r="57" ht="15" customHeight="1" s="25"/>
    <row r="58" ht="15" customHeight="1" s="25"/>
    <row r="59" ht="15" customHeight="1" s="25"/>
    <row r="60" ht="15" customHeight="1" s="25"/>
    <row r="61" ht="15" customHeight="1" s="25"/>
    <row r="62" ht="15" customHeight="1" s="25"/>
    <row r="63" ht="15" customHeight="1" s="25"/>
    <row r="64" ht="15" customHeight="1" s="25"/>
    <row r="65" ht="15" customHeight="1" s="25"/>
    <row r="66" ht="15" customHeight="1" s="25"/>
    <row r="67" ht="15" customHeight="1" s="25"/>
    <row r="68" ht="15" customHeight="1" s="25"/>
    <row r="69" ht="15" customHeight="1" s="25"/>
    <row r="70" ht="15" customHeight="1" s="25"/>
    <row r="71" ht="15" customHeight="1" s="25"/>
    <row r="72" ht="15" customHeight="1" s="25"/>
    <row r="73" ht="15" customHeight="1" s="25"/>
    <row r="74" ht="15" customHeight="1" s="25"/>
    <row r="75" ht="15" customHeight="1" s="25"/>
    <row r="76" ht="15" customHeight="1" s="25"/>
    <row r="77" ht="15" customHeight="1" s="25"/>
    <row r="78" ht="15" customHeight="1" s="25"/>
    <row r="79" ht="15" customHeight="1" s="25"/>
    <row r="80" ht="15" customHeight="1" s="25"/>
    <row r="81" ht="15" customHeight="1" s="25"/>
    <row r="82" ht="15" customHeight="1" s="25"/>
    <row r="83" ht="15" customHeight="1" s="25"/>
    <row r="84" ht="15" customHeight="1" s="25"/>
    <row r="85" ht="15" customHeight="1" s="25"/>
    <row r="86" ht="15" customHeight="1" s="25"/>
    <row r="87" ht="15" customHeight="1" s="25"/>
    <row r="88" ht="15" customHeight="1" s="25"/>
    <row r="89" ht="15" customHeight="1" s="25"/>
    <row r="90" ht="15" customHeight="1" s="25"/>
    <row r="91" ht="15" customHeight="1" s="25"/>
    <row r="92" ht="15" customHeight="1" s="25"/>
    <row r="93" ht="15" customHeight="1" s="25"/>
    <row r="94" ht="15" customHeight="1" s="25"/>
    <row r="95" ht="15" customHeight="1" s="25"/>
    <row r="96" ht="15" customHeight="1" s="25"/>
    <row r="97" ht="15" customHeight="1" s="25"/>
    <row r="98" ht="15" customHeight="1" s="25"/>
    <row r="99" ht="15" customHeight="1" s="25"/>
    <row r="100" ht="15" customHeight="1" s="25"/>
    <row r="101" ht="15" customHeight="1" s="25"/>
    <row r="102" ht="15" customHeight="1" s="25"/>
    <row r="103" ht="15" customHeight="1" s="25"/>
    <row r="104" ht="15" customHeight="1" s="25"/>
    <row r="105" ht="15" customHeight="1" s="25"/>
    <row r="106" ht="15" customHeight="1" s="25"/>
    <row r="107" ht="15" customHeight="1" s="25"/>
    <row r="108" ht="15" customHeight="1" s="25"/>
    <row r="109" ht="15" customHeight="1" s="25"/>
    <row r="110" ht="15" customHeight="1" s="25"/>
    <row r="111" ht="15" customHeight="1" s="25"/>
    <row r="112" ht="15" customHeight="1" s="25"/>
    <row r="113" ht="15" customHeight="1" s="25"/>
    <row r="114" ht="15" customHeight="1" s="25"/>
    <row r="115" ht="15" customHeight="1" s="25"/>
    <row r="116" ht="15" customHeight="1" s="25"/>
    <row r="117" ht="15" customHeight="1" s="25"/>
    <row r="118" ht="15" customHeight="1" s="25"/>
    <row r="119" ht="15" customHeight="1" s="25"/>
    <row r="120" ht="15" customHeight="1" s="25"/>
    <row r="121" ht="15" customHeight="1" s="25"/>
    <row r="122" ht="15" customHeight="1" s="25"/>
    <row r="123" ht="15" customHeight="1" s="25"/>
    <row r="124" ht="15" customHeight="1" s="25"/>
    <row r="125" ht="15" customHeight="1" s="25"/>
    <row r="126" ht="15" customHeight="1" s="25"/>
    <row r="127" ht="15" customHeight="1" s="25"/>
    <row r="128" ht="15" customHeight="1" s="25"/>
    <row r="129" ht="15" customHeight="1" s="25"/>
    <row r="130" ht="15" customHeight="1" s="25"/>
    <row r="131" ht="15" customHeight="1" s="25"/>
    <row r="132" ht="15" customHeight="1" s="25"/>
    <row r="133" ht="15" customHeight="1" s="25"/>
    <row r="134" ht="15" customHeight="1" s="25"/>
    <row r="135" ht="15" customHeight="1" s="25"/>
    <row r="136" ht="15" customHeight="1" s="25"/>
    <row r="137" ht="15" customHeight="1" s="25"/>
    <row r="138" ht="15" customHeight="1" s="25"/>
    <row r="139" ht="15" customHeight="1" s="25"/>
    <row r="140" ht="15" customHeight="1" s="25"/>
    <row r="141" ht="15" customHeight="1" s="25"/>
    <row r="142" ht="15" customHeight="1" s="25"/>
    <row r="143" ht="15" customHeight="1" s="25"/>
    <row r="144" ht="15" customHeight="1" s="25"/>
    <row r="145" ht="15" customHeight="1" s="25"/>
    <row r="146" ht="15" customHeight="1" s="25"/>
    <row r="147" ht="15" customHeight="1" s="25"/>
    <row r="148" ht="15" customHeight="1" s="25"/>
    <row r="149" ht="15" customHeight="1" s="25"/>
    <row r="150" ht="15" customHeight="1" s="25"/>
    <row r="151" ht="15" customHeight="1" s="25"/>
    <row r="152" ht="15" customHeight="1" s="25"/>
    <row r="153" ht="15" customHeight="1" s="25"/>
    <row r="154" ht="15" customHeight="1" s="25"/>
    <row r="155" ht="15" customHeight="1" s="25"/>
    <row r="156" ht="15" customHeight="1" s="25"/>
    <row r="157" ht="15" customHeight="1" s="25"/>
    <row r="158" ht="15" customHeight="1" s="25"/>
    <row r="159" ht="15" customHeight="1" s="25"/>
    <row r="160" ht="15" customHeight="1" s="25"/>
    <row r="161" ht="15" customHeight="1" s="25"/>
    <row r="162" ht="15" customHeight="1" s="25"/>
    <row r="163" ht="15" customHeight="1" s="25"/>
    <row r="164" ht="15" customHeight="1" s="25"/>
    <row r="165" ht="15" customHeight="1" s="25"/>
    <row r="166" ht="15" customHeight="1" s="25"/>
    <row r="167" ht="15" customHeight="1" s="25"/>
    <row r="168" ht="15" customHeight="1" s="25"/>
    <row r="169" ht="15" customHeight="1" s="25"/>
    <row r="170" ht="15" customHeight="1" s="25"/>
    <row r="171" ht="15" customHeight="1" s="25"/>
    <row r="172" ht="15" customHeight="1" s="25"/>
    <row r="173" ht="15" customHeight="1" s="25"/>
    <row r="174" ht="15" customHeight="1" s="25"/>
    <row r="175" ht="15" customHeight="1" s="25"/>
    <row r="176" ht="15" customHeight="1" s="25"/>
    <row r="177" ht="15" customHeight="1" s="25"/>
    <row r="178" ht="15" customHeight="1" s="25"/>
    <row r="179" ht="15" customHeight="1" s="25"/>
    <row r="180" ht="15" customHeight="1" s="25"/>
    <row r="181" ht="15" customHeight="1" s="25"/>
    <row r="182" ht="15" customHeight="1" s="25"/>
    <row r="183" ht="15" customHeight="1" s="25"/>
    <row r="184" ht="15" customHeight="1" s="25"/>
    <row r="185" ht="15" customHeight="1" s="25"/>
    <row r="186" ht="15" customHeight="1" s="25"/>
    <row r="187" ht="15" customHeight="1" s="25"/>
    <row r="188" ht="15" customHeight="1" s="25"/>
    <row r="189" ht="15" customHeight="1" s="25"/>
    <row r="190" ht="15" customHeight="1" s="25"/>
    <row r="191" ht="15" customHeight="1" s="25"/>
    <row r="192" ht="15" customHeight="1" s="25"/>
    <row r="193" ht="15" customHeight="1" s="25"/>
    <row r="194" ht="15" customHeight="1" s="25"/>
    <row r="195" ht="15" customHeight="1" s="25"/>
    <row r="196" ht="15" customHeight="1" s="25"/>
    <row r="197" ht="15" customHeight="1" s="25"/>
    <row r="198" ht="15" customHeight="1" s="25"/>
    <row r="199" ht="15" customHeight="1" s="25"/>
    <row r="200" ht="15" customHeight="1" s="25"/>
    <row r="201" ht="15" customHeight="1" s="25"/>
    <row r="202" ht="15" customHeight="1" s="25"/>
    <row r="203" ht="15" customHeight="1" s="25"/>
    <row r="204" ht="15" customHeight="1" s="25"/>
    <row r="205" ht="15" customHeight="1" s="25"/>
    <row r="206" ht="15" customHeight="1" s="25"/>
    <row r="207" ht="15" customHeight="1" s="25"/>
    <row r="208" ht="15" customHeight="1" s="25"/>
    <row r="209" ht="15" customHeight="1" s="25"/>
    <row r="210" ht="15" customHeight="1" s="25"/>
    <row r="211" ht="15" customHeight="1" s="25"/>
    <row r="212" ht="15" customHeight="1" s="25"/>
    <row r="213" ht="15" customHeight="1" s="25"/>
    <row r="214" ht="15" customHeight="1" s="25"/>
    <row r="215" ht="15" customHeight="1" s="25"/>
    <row r="216" ht="15" customHeight="1" s="25"/>
    <row r="217" ht="15" customHeight="1" s="25"/>
    <row r="218" ht="15" customHeight="1" s="25"/>
    <row r="219" ht="15" customHeight="1" s="25"/>
    <row r="220" ht="15" customHeight="1" s="25"/>
    <row r="221" ht="15" customHeight="1" s="25"/>
    <row r="222" ht="15" customHeight="1" s="25"/>
    <row r="223" ht="15" customHeight="1" s="25"/>
    <row r="224" ht="15" customHeight="1" s="25"/>
    <row r="225" ht="15" customHeight="1" s="25"/>
    <row r="226" ht="15" customHeight="1" s="25"/>
    <row r="227" ht="15" customHeight="1" s="25"/>
    <row r="228" ht="15" customHeight="1" s="25"/>
    <row r="229" ht="15" customHeight="1" s="25"/>
    <row r="230" ht="15" customHeight="1" s="25"/>
    <row r="231" ht="15" customHeight="1" s="25"/>
    <row r="232" ht="15" customHeight="1" s="25"/>
    <row r="233" ht="15" customHeight="1" s="25"/>
    <row r="234" ht="15" customHeight="1" s="25"/>
    <row r="235" ht="15" customHeight="1" s="25"/>
    <row r="236" ht="15" customHeight="1" s="25"/>
    <row r="237" ht="15" customHeight="1" s="25"/>
    <row r="238" ht="15" customHeight="1" s="25"/>
    <row r="239" ht="15" customHeight="1" s="25"/>
    <row r="240" ht="15" customHeight="1" s="25"/>
    <row r="241" ht="15" customHeight="1" s="25"/>
    <row r="242" ht="15" customHeight="1" s="25"/>
    <row r="243" ht="15" customHeight="1" s="25"/>
    <row r="244" ht="15" customHeight="1" s="25"/>
    <row r="245" ht="15" customHeight="1" s="25"/>
    <row r="246" ht="15" customHeight="1" s="25"/>
    <row r="247" ht="15" customHeight="1" s="25"/>
    <row r="248" ht="15" customHeight="1" s="25"/>
    <row r="249" ht="15" customHeight="1" s="25"/>
    <row r="250" ht="15" customHeight="1" s="25"/>
    <row r="251" ht="15" customHeight="1" s="25"/>
    <row r="252" ht="15" customHeight="1" s="25"/>
    <row r="253" ht="15" customHeight="1" s="25"/>
    <row r="254" ht="15" customHeight="1" s="25"/>
    <row r="255" ht="15" customHeight="1" s="25"/>
    <row r="256" ht="15" customHeight="1" s="25"/>
    <row r="257" ht="15" customHeight="1" s="25"/>
    <row r="258" ht="15" customHeight="1" s="25"/>
    <row r="259" ht="15" customHeight="1" s="25"/>
    <row r="260" ht="15" customHeight="1" s="25"/>
    <row r="261" ht="15" customHeight="1" s="25"/>
    <row r="262" ht="15" customHeight="1" s="25"/>
    <row r="263" ht="15" customHeight="1" s="25"/>
    <row r="264" ht="15" customHeight="1" s="25"/>
    <row r="265" ht="15" customHeight="1" s="25"/>
    <row r="266" ht="15" customHeight="1" s="25"/>
    <row r="267" ht="15" customHeight="1" s="25"/>
    <row r="268" ht="15" customHeight="1" s="25"/>
    <row r="269" ht="15" customHeight="1" s="25"/>
    <row r="270" ht="15" customHeight="1" s="25"/>
    <row r="271" ht="15" customHeight="1" s="25"/>
    <row r="272" ht="15" customHeight="1" s="25"/>
    <row r="273" ht="15" customHeight="1" s="25"/>
    <row r="274" ht="15" customHeight="1" s="25"/>
    <row r="275" ht="15" customHeight="1" s="25"/>
    <row r="276" ht="15" customHeight="1" s="25"/>
    <row r="277" ht="15" customHeight="1" s="25"/>
    <row r="278" ht="15" customHeight="1" s="25"/>
    <row r="279" ht="15" customHeight="1" s="25"/>
    <row r="280" ht="15" customHeight="1" s="25"/>
    <row r="281" ht="15" customHeight="1" s="25"/>
    <row r="282" ht="15" customHeight="1" s="25"/>
    <row r="283" ht="15" customHeight="1" s="25"/>
    <row r="284" ht="15" customHeight="1" s="25"/>
    <row r="285" ht="15" customHeight="1" s="25"/>
    <row r="286" ht="15" customHeight="1" s="25"/>
    <row r="287" ht="15" customHeight="1" s="25"/>
    <row r="288" ht="15" customHeight="1" s="25"/>
    <row r="289" ht="15" customHeight="1" s="25"/>
    <row r="290" ht="15" customHeight="1" s="25"/>
    <row r="291" ht="15" customHeight="1" s="25"/>
    <row r="292" ht="15" customHeight="1" s="25"/>
    <row r="293" ht="15" customHeight="1" s="25"/>
    <row r="294" ht="15" customHeight="1" s="25"/>
    <row r="295" ht="15" customHeight="1" s="25"/>
    <row r="296" ht="15" customHeight="1" s="25"/>
    <row r="297" ht="15" customHeight="1" s="25"/>
    <row r="298" ht="15" customHeight="1" s="25"/>
    <row r="299" ht="15" customHeight="1" s="25"/>
    <row r="300" ht="15" customHeight="1" s="25"/>
    <row r="301" ht="15" customHeight="1" s="25"/>
    <row r="302" ht="15" customHeight="1" s="25"/>
    <row r="303" ht="15" customHeight="1" s="25"/>
    <row r="304" ht="15" customHeight="1" s="25"/>
    <row r="305" ht="15" customHeight="1" s="25"/>
    <row r="306" ht="15" customHeight="1" s="25"/>
    <row r="307" ht="15" customHeight="1" s="25"/>
    <row r="308" ht="15" customHeight="1" s="25"/>
    <row r="309" ht="15" customHeight="1" s="25"/>
    <row r="310" ht="15" customHeight="1" s="25"/>
    <row r="311" ht="15" customHeight="1" s="25"/>
    <row r="312" ht="15" customHeight="1" s="25"/>
    <row r="313" ht="15" customHeight="1" s="25"/>
    <row r="314" ht="15" customHeight="1" s="25"/>
    <row r="315" ht="15" customHeight="1" s="25"/>
    <row r="316" ht="15" customHeight="1" s="25"/>
    <row r="317" ht="15" customHeight="1" s="25"/>
    <row r="318" ht="15" customHeight="1" s="25"/>
    <row r="319" ht="15" customHeight="1" s="25"/>
    <row r="320" ht="15" customHeight="1" s="25"/>
    <row r="321" ht="15" customHeight="1" s="25"/>
    <row r="322" ht="15" customHeight="1" s="25"/>
    <row r="323" ht="15" customHeight="1" s="25"/>
    <row r="324" ht="15" customHeight="1" s="25"/>
    <row r="325" ht="15" customHeight="1" s="25"/>
    <row r="326" ht="15" customHeight="1" s="25"/>
    <row r="327" ht="15" customHeight="1" s="25"/>
    <row r="328" ht="15" customHeight="1" s="25"/>
    <row r="329" ht="15" customHeight="1" s="25"/>
    <row r="331" ht="15" customHeight="1" s="25"/>
  </sheetData>
  <autoFilter ref="A1:Q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4" min="1" max="1"/>
    <col width="10" customWidth="1" style="24" min="2" max="2"/>
    <col width="7" customWidth="1" style="24" min="3" max="3"/>
    <col width="10" customWidth="1" style="24" min="4" max="4"/>
    <col width="20" customWidth="1" style="24" min="5" max="5"/>
    <col width="14" customWidth="1" style="24" min="6" max="6"/>
    <col width="9" customWidth="1" style="24" min="7" max="7"/>
    <col width="16" customWidth="1" style="24" min="8" max="8"/>
  </cols>
  <sheetData>
    <row r="1" ht="31.5" customHeight="1" s="25">
      <c r="A1" s="35" t="inlineStr">
        <is>
          <t>序號</t>
        </is>
      </c>
      <c r="B1" s="35" t="inlineStr">
        <is>
          <t>車位編號</t>
        </is>
      </c>
      <c r="C1" s="35" t="inlineStr">
        <is>
          <t>樓層</t>
        </is>
      </c>
      <c r="D1" s="35" t="inlineStr">
        <is>
          <t>類型</t>
        </is>
      </c>
      <c r="E1" s="35" t="inlineStr">
        <is>
          <t>尺寸</t>
        </is>
      </c>
      <c r="F1" s="35" t="inlineStr">
        <is>
          <t>價格(元)</t>
        </is>
      </c>
      <c r="G1" s="35" t="inlineStr">
        <is>
          <t>開放狀態</t>
        </is>
      </c>
      <c r="H1" s="35" t="inlineStr">
        <is>
          <t>備註</t>
        </is>
      </c>
    </row>
    <row r="2" ht="15" customHeight="1" s="25">
      <c r="A2" s="41" t="n">
        <v>1</v>
      </c>
      <c r="B2" s="40" t="inlineStr">
        <is>
          <t>B5-1</t>
        </is>
      </c>
      <c r="C2" s="40" t="inlineStr">
        <is>
          <t>B5</t>
        </is>
      </c>
      <c r="D2" s="41" t="inlineStr">
        <is>
          <t>平面車位</t>
        </is>
      </c>
      <c r="E2" s="41" t="inlineStr">
        <is>
          <t>大(250*550)</t>
        </is>
      </c>
      <c r="F2" s="42" t="n">
        <v>1950000</v>
      </c>
      <c r="G2" s="46" t="inlineStr">
        <is>
          <t>開放</t>
        </is>
      </c>
      <c r="H2" s="46" t="n"/>
    </row>
    <row r="3" ht="15" customHeight="1" s="25"/>
    <row r="4" ht="15" customHeight="1" s="25"/>
    <row r="5" ht="15" customHeight="1" s="25"/>
    <row r="6" ht="15" customHeight="1" s="25"/>
    <row r="7" ht="15" customHeight="1" s="25"/>
    <row r="8" ht="15" customHeight="1" s="25"/>
    <row r="9" ht="15" customHeight="1" s="25"/>
    <row r="10" ht="15" customHeight="1" s="25"/>
    <row r="11" ht="15" customHeight="1" s="25"/>
    <row r="12" ht="15" customHeight="1" s="25"/>
    <row r="13" ht="15" customHeight="1" s="25"/>
    <row r="14" ht="15" customHeight="1" s="25"/>
    <row r="15" ht="15" customHeight="1" s="25"/>
    <row r="16" ht="15" customHeight="1" s="25"/>
    <row r="17" ht="15" customHeight="1" s="25"/>
    <row r="18" ht="15" customHeight="1" s="25"/>
    <row r="19" ht="15" customHeight="1" s="25"/>
    <row r="20" ht="15" customHeight="1" s="25"/>
    <row r="21" ht="15" customHeight="1" s="25"/>
    <row r="22" ht="15" customHeight="1" s="25"/>
    <row r="23" ht="15" customHeight="1" s="25"/>
    <row r="24" ht="15" customHeight="1" s="25"/>
    <row r="25" ht="15" customHeight="1" s="25"/>
    <row r="26" ht="15" customHeight="1" s="25"/>
    <row r="27" ht="15" customHeight="1" s="25"/>
    <row r="28" ht="15" customHeight="1" s="25"/>
    <row r="29" ht="15" customHeight="1" s="25"/>
    <row r="30" ht="15" customHeight="1" s="25"/>
    <row r="31" ht="15" customHeight="1" s="25"/>
    <row r="32" ht="15" customHeight="1" s="25"/>
    <row r="33" ht="15" customHeight="1" s="25"/>
    <row r="34" ht="15" customHeight="1" s="25"/>
    <row r="35" ht="15" customHeight="1" s="25"/>
    <row r="36" ht="15" customHeight="1" s="25"/>
    <row r="37" ht="15" customHeight="1" s="25"/>
    <row r="38" ht="15" customHeight="1" s="25"/>
    <row r="39" ht="15" customHeight="1" s="25"/>
    <row r="40" ht="15" customHeight="1" s="25"/>
    <row r="41" ht="15" customHeight="1" s="25"/>
    <row r="42" ht="15" customHeight="1" s="25"/>
    <row r="43" ht="15" customHeight="1" s="25"/>
    <row r="44" ht="15" customHeight="1" s="25"/>
    <row r="45" ht="15" customHeight="1" s="25"/>
    <row r="46" ht="15" customHeight="1" s="25"/>
    <row r="47" ht="15" customHeight="1" s="25"/>
    <row r="48" ht="15" customHeight="1" s="25"/>
    <row r="49" ht="15" customHeight="1" s="25"/>
    <row r="50" ht="15" customHeight="1" s="25"/>
    <row r="51" ht="15" customHeight="1" s="25"/>
    <row r="52" ht="15" customHeight="1" s="25"/>
    <row r="53" ht="15" customHeight="1" s="25"/>
    <row r="54" ht="15" customHeight="1" s="25"/>
    <row r="55" ht="15" customHeight="1" s="25"/>
    <row r="56" ht="15" customHeight="1" s="25"/>
    <row r="57" ht="15" customHeight="1" s="25"/>
    <row r="58" ht="15" customHeight="1" s="25"/>
    <row r="59" ht="15" customHeight="1" s="25"/>
    <row r="60" ht="15" customHeight="1" s="25"/>
    <row r="61" ht="15" customHeight="1" s="25"/>
    <row r="62" ht="15" customHeight="1" s="25"/>
    <row r="63" ht="15" customHeight="1" s="25"/>
    <row r="64" ht="15" customHeight="1" s="25"/>
    <row r="65" ht="15" customHeight="1" s="25"/>
    <row r="66" ht="15" customHeight="1" s="25"/>
    <row r="67" ht="15" customHeight="1" s="25"/>
    <row r="68" ht="15" customHeight="1" s="25"/>
    <row r="69" ht="15" customHeight="1" s="25"/>
    <row r="70" ht="15" customHeight="1" s="25"/>
    <row r="71" ht="15" customHeight="1" s="25"/>
    <row r="72" ht="15" customHeight="1" s="25"/>
    <row r="73" ht="15" customHeight="1" s="25"/>
    <row r="74" ht="15" customHeight="1" s="25"/>
    <row r="75" ht="15" customHeight="1" s="25"/>
    <row r="76" ht="15" customHeight="1" s="25"/>
    <row r="77" ht="15" customHeight="1" s="25"/>
    <row r="78" ht="15" customHeight="1" s="25"/>
    <row r="79" ht="15" customHeight="1" s="25"/>
    <row r="80" ht="15" customHeight="1" s="25"/>
    <row r="81" ht="15" customHeight="1" s="25"/>
    <row r="82" ht="15" customHeight="1" s="25"/>
    <row r="83" ht="15" customHeight="1" s="25"/>
    <row r="84" ht="15" customHeight="1" s="25"/>
    <row r="85" ht="15" customHeight="1" s="25"/>
    <row r="86" ht="15" customHeight="1" s="25"/>
    <row r="87" ht="15" customHeight="1" s="25"/>
    <row r="88" ht="15" customHeight="1" s="25"/>
    <row r="89" ht="15" customHeight="1" s="25"/>
    <row r="90" ht="15" customHeight="1" s="25"/>
    <row r="91" ht="15" customHeight="1" s="25"/>
    <row r="92" ht="15" customHeight="1" s="25"/>
    <row r="93" ht="15" customHeight="1" s="25"/>
    <row r="94" ht="15" customHeight="1" s="25"/>
    <row r="95" ht="15" customHeight="1" s="25"/>
    <row r="96" ht="15" customHeight="1" s="25"/>
    <row r="97" ht="15" customHeight="1" s="25"/>
    <row r="98" ht="15" customHeight="1" s="25"/>
    <row r="99" ht="15" customHeight="1" s="25"/>
    <row r="100" ht="15" customHeight="1" s="25"/>
    <row r="101" ht="15" customHeight="1" s="25"/>
    <row r="102" ht="15" customHeight="1" s="25"/>
    <row r="103" ht="15" customHeight="1" s="25"/>
    <row r="104" ht="15" customHeight="1" s="25"/>
    <row r="105" ht="15" customHeight="1" s="25"/>
    <row r="106" ht="15" customHeight="1" s="25"/>
    <row r="107" ht="15" customHeight="1" s="25"/>
    <row r="108" ht="15" customHeight="1" s="25"/>
    <row r="109" ht="15" customHeight="1" s="25"/>
    <row r="110" ht="15" customHeight="1" s="25"/>
    <row r="111" ht="15" customHeight="1" s="25"/>
    <row r="112" ht="15" customHeight="1" s="25"/>
    <row r="113" ht="15" customHeight="1" s="25"/>
    <row r="114" ht="15" customHeight="1" s="25"/>
    <row r="115" ht="15" customHeight="1" s="25"/>
    <row r="116" ht="15" customHeight="1" s="25"/>
    <row r="117" ht="15" customHeight="1" s="25"/>
    <row r="118" ht="15" customHeight="1" s="25"/>
    <row r="119" ht="15" customHeight="1" s="25"/>
    <row r="120" ht="15" customHeight="1" s="25"/>
    <row r="121" ht="15" customHeight="1" s="25"/>
    <row r="122" ht="15" customHeight="1" s="25"/>
    <row r="123" ht="15" customHeight="1" s="25"/>
    <row r="124" ht="15" customHeight="1" s="25"/>
    <row r="125" ht="15" customHeight="1" s="25"/>
    <row r="126" ht="15" customHeight="1" s="25"/>
    <row r="127" ht="15" customHeight="1" s="25"/>
    <row r="128" ht="15" customHeight="1" s="25"/>
    <row r="129" ht="15" customHeight="1" s="25"/>
    <row r="130" ht="15" customHeight="1" s="25"/>
    <row r="131" ht="15" customHeight="1" s="25"/>
    <row r="132" ht="15" customHeight="1" s="25"/>
    <row r="133" ht="15" customHeight="1" s="25"/>
    <row r="134" ht="15" customHeight="1" s="25"/>
    <row r="135" ht="15" customHeight="1" s="25"/>
    <row r="136" ht="15" customHeight="1" s="25"/>
    <row r="137" ht="15" customHeight="1" s="25"/>
    <row r="138" ht="15" customHeight="1" s="25"/>
    <row r="139" ht="15" customHeight="1" s="25"/>
    <row r="140" ht="15" customHeight="1" s="25"/>
    <row r="141" ht="15" customHeight="1" s="25"/>
    <row r="142" ht="15" customHeight="1" s="25"/>
    <row r="143" ht="15" customHeight="1" s="25"/>
    <row r="144" ht="15" customHeight="1" s="25"/>
    <row r="145" ht="15" customHeight="1" s="25"/>
    <row r="146" ht="15" customHeight="1" s="25"/>
    <row r="147" ht="15" customHeight="1" s="25"/>
    <row r="148" ht="15" customHeight="1" s="25"/>
    <row r="149" ht="15" customHeight="1" s="25"/>
    <row r="150" ht="15" customHeight="1" s="25"/>
    <row r="151" ht="15" customHeight="1" s="25"/>
    <row r="152" ht="15" customHeight="1" s="25"/>
    <row r="153" ht="15" customHeight="1" s="25"/>
    <row r="154" ht="15" customHeight="1" s="25"/>
    <row r="155" ht="15" customHeight="1" s="25"/>
    <row r="156" ht="15" customHeight="1" s="25"/>
    <row r="157" ht="15" customHeight="1" s="25"/>
    <row r="158" ht="15" customHeight="1" s="25"/>
    <row r="159" ht="15" customHeight="1" s="25"/>
    <row r="160" ht="15" customHeight="1" s="25"/>
    <row r="161" ht="15" customHeight="1" s="25"/>
    <row r="162" ht="15" customHeight="1" s="25"/>
    <row r="163" ht="15" customHeight="1" s="25"/>
    <row r="164" ht="15" customHeight="1" s="25"/>
    <row r="165" ht="15" customHeight="1" s="25"/>
    <row r="166" ht="15" customHeight="1" s="25"/>
    <row r="167" ht="15" customHeight="1" s="25"/>
    <row r="168" ht="15" customHeight="1" s="25"/>
    <row r="169" ht="15" customHeight="1" s="25"/>
    <row r="170" ht="15" customHeight="1" s="25"/>
    <row r="171" ht="15" customHeight="1" s="25"/>
    <row r="172" ht="15" customHeight="1" s="25"/>
    <row r="173" ht="15" customHeight="1" s="25"/>
    <row r="174" ht="15" customHeight="1" s="25"/>
    <row r="175" ht="15" customHeight="1" s="25"/>
    <row r="176" ht="15" customHeight="1" s="25"/>
    <row r="177" ht="15" customHeight="1" s="25"/>
    <row r="178" ht="15" customHeight="1" s="25"/>
    <row r="179" ht="15" customHeight="1" s="25"/>
    <row r="180" ht="15" customHeight="1" s="25"/>
    <row r="181" ht="15" customHeight="1" s="25"/>
    <row r="182" ht="15" customHeight="1" s="25"/>
    <row r="183" ht="15" customHeight="1" s="25"/>
    <row r="184" ht="15" customHeight="1" s="25"/>
    <row r="185" ht="15" customHeight="1" s="25"/>
    <row r="186" ht="15" customHeight="1" s="25"/>
    <row r="187" ht="15" customHeight="1" s="25"/>
    <row r="188" ht="15" customHeight="1" s="25"/>
    <row r="189" ht="15" customHeight="1" s="25"/>
    <row r="190" ht="15" customHeight="1" s="25"/>
    <row r="191" ht="15" customHeight="1" s="25"/>
    <row r="192" ht="15" customHeight="1" s="25"/>
    <row r="193" ht="15" customHeight="1" s="25"/>
    <row r="194" ht="15" customHeight="1" s="25"/>
    <row r="195" ht="15" customHeight="1" s="25"/>
    <row r="196" ht="15" customHeight="1" s="25"/>
    <row r="197" ht="15" customHeight="1" s="25"/>
    <row r="198" ht="15" customHeight="1" s="25"/>
    <row r="199" ht="15" customHeight="1" s="25"/>
    <row r="200" ht="15" customHeight="1" s="25"/>
    <row r="201" ht="15" customHeight="1" s="25"/>
    <row r="202" ht="15" customHeight="1" s="25"/>
    <row r="203" ht="15" customHeight="1" s="25"/>
    <row r="204" ht="15" customHeight="1" s="25"/>
    <row r="205" ht="15" customHeight="1" s="25"/>
    <row r="206" ht="15" customHeight="1" s="25"/>
    <row r="207" ht="15" customHeight="1" s="25"/>
    <row r="208" ht="15" customHeight="1" s="25"/>
    <row r="209" ht="15" customHeight="1" s="25"/>
    <row r="210" ht="15" customHeight="1" s="25"/>
    <row r="211" ht="15" customHeight="1" s="25"/>
    <row r="212" ht="15" customHeight="1" s="25"/>
    <row r="213" ht="15" customHeight="1" s="25"/>
    <row r="214" ht="15" customHeight="1" s="25"/>
    <row r="215" ht="15" customHeight="1" s="25"/>
    <row r="216" ht="15" customHeight="1" s="25"/>
    <row r="217" ht="15" customHeight="1" s="25"/>
    <row r="218" ht="15" customHeight="1" s="25"/>
    <row r="219" ht="15" customHeight="1" s="25"/>
    <row r="220" ht="15" customHeight="1" s="25"/>
    <row r="221" ht="15" customHeight="1" s="25"/>
    <row r="222" ht="15" customHeight="1" s="25"/>
    <row r="223" ht="15" customHeight="1" s="25"/>
    <row r="224" ht="15" customHeight="1" s="25"/>
    <row r="225" ht="15" customHeight="1" s="25"/>
    <row r="226" ht="15" customHeight="1" s="25"/>
    <row r="227" ht="15" customHeight="1" s="25"/>
    <row r="228" ht="15" customHeight="1" s="25"/>
    <row r="229" ht="15" customHeight="1" s="25"/>
    <row r="230" ht="15" customHeight="1" s="25"/>
    <row r="231" ht="15" customHeight="1" s="25"/>
    <row r="232" ht="15" customHeight="1" s="25"/>
    <row r="233" ht="15" customHeight="1" s="25"/>
    <row r="234" ht="15" customHeight="1" s="25"/>
    <row r="235" ht="15" customHeight="1" s="25"/>
    <row r="236" ht="15" customHeight="1" s="25"/>
    <row r="237" ht="15" customHeight="1" s="25"/>
    <row r="238" ht="15" customHeight="1" s="25"/>
    <row r="239" ht="15" customHeight="1" s="25"/>
    <row r="240" ht="15" customHeight="1" s="25"/>
    <row r="241" ht="15" customHeight="1" s="25"/>
    <row r="242" ht="15" customHeight="1" s="25"/>
    <row r="243" ht="15" customHeight="1" s="25"/>
    <row r="244" ht="15" customHeight="1" s="25"/>
    <row r="245" ht="15" customHeight="1" s="25"/>
    <row r="246" ht="15" customHeight="1" s="25"/>
    <row r="247" ht="15" customHeight="1" s="25"/>
    <row r="248" ht="15" customHeight="1" s="25"/>
    <row r="249" ht="15" customHeight="1" s="25"/>
    <row r="250" ht="15" customHeight="1" s="25"/>
    <row r="251" ht="15" customHeight="1" s="25"/>
    <row r="252" ht="15" customHeight="1" s="25"/>
    <row r="253" ht="15" customHeight="1" s="25"/>
    <row r="254" ht="15" customHeight="1" s="25"/>
    <row r="255" ht="15" customHeight="1" s="25"/>
    <row r="256" ht="15" customHeight="1" s="25"/>
    <row r="257" ht="15" customHeight="1" s="25"/>
    <row r="258" ht="15" customHeight="1" s="25"/>
    <row r="259" ht="15" customHeight="1" s="25"/>
    <row r="260" ht="15" customHeight="1" s="25"/>
    <row r="261" ht="15" customHeight="1" s="25"/>
    <row r="262" ht="15" customHeight="1" s="25"/>
    <row r="263" ht="15" customHeight="1" s="25"/>
    <row r="264" ht="15" customHeight="1" s="25"/>
    <row r="265" ht="15" customHeight="1" s="25"/>
    <row r="267" ht="15" customHeight="1" s="25"/>
  </sheetData>
  <autoFilter ref="A1:H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2026-09-26T09:26:07Z</dcterms:created>
  <dcterms:modified xmlns:dcterms="http://purl.org/dc/terms/" xmlns:xsi="http://www.w3.org/2001/XMLSchema-instance" xsi:type="dcterms:W3CDTF">2026-09-27T02:14:11Z</dcterms:modified>
  <cp:revision>0</cp:revision>
</cp:coreProperties>
</file>